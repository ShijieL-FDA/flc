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1271a9bd6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9c7f59fd7ea451b"/>
    <x:sheet xmlns:r="http://schemas.openxmlformats.org/officeDocument/2006/relationships" name="Inventory" sheetId="2" r:id="R0178b10327e349ad"/>
    <x:sheet xmlns:r="http://schemas.openxmlformats.org/officeDocument/2006/relationships" name="WeightLog" sheetId="3" r:id="Rf0edaa9ceb934a52"/>
    <x:sheet xmlns:r="http://schemas.openxmlformats.org/officeDocument/2006/relationships" name="MealLog" sheetId="4" r:id="R485c9b4e1634435c"/>
    <x:sheet xmlns:r="http://schemas.openxmlformats.org/officeDocument/2006/relationships" name="UsageLog" sheetId="5" r:id="R690c96be8ae943e0"/>
    <x:sheet xmlns:r="http://schemas.openxmlformats.org/officeDocument/2006/relationships" name="FoodCatalog" sheetId="6" r:id="Rdf43eef26af44bb7"/>
    <x:sheet xmlns:r="http://schemas.openxmlformats.org/officeDocument/2006/relationships" name="Settings" sheetId="7" r:id="Rcc9f42f948a5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0eb876ed14747" /><Relationship Type="http://schemas.openxmlformats.org/officeDocument/2006/relationships/theme" Target="/xl/theme/theme1.xml" Id="Rbee2661498b74219" /><Relationship Type="http://schemas.openxmlformats.org/officeDocument/2006/relationships/sharedStrings" Target="/xl/sharedStrings.xml" Id="Re62333475e4440b2" /><Relationship Type="http://schemas.openxmlformats.org/officeDocument/2006/relationships/worksheet" Target="/xl/worksheets/sheet1.xml" Id="R29c7f59fd7ea451b" /><Relationship Type="http://schemas.openxmlformats.org/officeDocument/2006/relationships/worksheet" Target="/xl/worksheets/sheet2.xml" Id="R0178b10327e349ad" /><Relationship Type="http://schemas.openxmlformats.org/officeDocument/2006/relationships/worksheet" Target="/xl/worksheets/sheet3.xml" Id="Rf0edaa9ceb934a52" /><Relationship Type="http://schemas.openxmlformats.org/officeDocument/2006/relationships/worksheet" Target="/xl/worksheets/sheet4.xml" Id="R485c9b4e1634435c" /><Relationship Type="http://schemas.openxmlformats.org/officeDocument/2006/relationships/worksheet" Target="/xl/worksheets/sheet5.xml" Id="R690c96be8ae943e0" /><Relationship Type="http://schemas.openxmlformats.org/officeDocument/2006/relationships/worksheet" Target="/xl/worksheets/sheet6.xml" Id="Rdf43eef26af44bb7" /><Relationship Type="http://schemas.openxmlformats.org/officeDocument/2006/relationships/worksheet" Target="/xl/worksheets/sheet7.xml" Id="Rcc9f42f948a547ee" /></Relationships>
</file>

<file path=xl/tables/table1.xml><?xml version="1.0" encoding="utf-8"?>
<x:table xmlns:x="http://schemas.openxmlformats.org/spreadsheetml/2006/main" id="1" name="InventoryTable" displayName="InventoryTable" ref="A1:T200" headerRowCount="1">
  <x:tableColumns count="20">
    <x:tableColumn id="1" name="id"/>
    <x:tableColumn id="2" name="item_en"/>
    <x:tableColumn id="3" name="item_zh"/>
    <x:tableColumn id="4" name="category"/>
    <x:tableColumn id="5" name="quantity"/>
    <x:tableColumn id="6" name="unit"/>
    <x:tableColumn id="7" name="storage"/>
    <x:tableColumn id="8" name="purchase_date"/>
    <x:tableColumn id="9" name="opened_date"/>
    <x:tableColumn id="10" name="use_by"/>
    <x:tableColumn id="11" name="calories_per_100g"/>
    <x:tableColumn id="12" name="protein_per_100g"/>
    <x:tableColumn id="13" name="carbs_per_100g"/>
    <x:tableColumn id="14" name="fat_per_100g"/>
    <x:tableColumn id="15" name="status"/>
    <x:tableColumn id="16" name="priority"/>
    <x:tableColumn id="17" name="min_quantity"/>
    <x:tableColumn id="18" name="target_quantity"/>
    <x:tableColumn id="19" name="notes"/>
    <x:tableColumn id="20" name="last_updated"/>
  </x:tableColumns>
  <x:tableStyleInfo name="TableStyleMedium2" showRowStripes="1"/>
</x:table>
</file>

<file path=xl/tables/table2.xml><?xml version="1.0" encoding="utf-8"?>
<x:table xmlns:x="http://schemas.openxmlformats.org/spreadsheetml/2006/main" id="2" name="WeightLogTable" displayName="WeightLogTable" ref="A1:L200" headerRowCount="1">
  <x:tableColumns count="12">
    <x:tableColumn id="1" name="date"/>
    <x:tableColumn id="2" name="weight_lb"/>
    <x:tableColumn id="3" name="sleep_hours"/>
    <x:tableColumn id="4" name="hunger_1_10"/>
    <x:tableColumn id="5" name="training_perf_1_10"/>
    <x:tableColumn id="6" name="training"/>
    <x:tableColumn id="7" name="calories"/>
    <x:tableColumn id="8" name="protein_g"/>
    <x:tableColumn id="9" name="fast_food"/>
    <x:tableColumn id="10" name="alcohol"/>
    <x:tableColumn id="11" name="night_snack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ealLogTable" displayName="MealLogTable" ref="A1:J200" headerRowCount="1">
  <x:tableColumns count="10">
    <x:tableColumn id="1" name="date"/>
    <x:tableColumn id="2" name="meal_type"/>
    <x:tableColumn id="3" name="planned_or_actual"/>
    <x:tableColumn id="4" name="calories"/>
    <x:tableColumn id="5" name="protein_g"/>
    <x:tableColumn id="6" name="carbs_g"/>
    <x:tableColumn id="7" name="fat_g"/>
    <x:tableColumn id="8" name="food_summary"/>
    <x:tableColumn id="9" name="inventory_used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UsageLogTable" displayName="UsageLogTable" ref="A1:J200" headerRowCount="1">
  <x:tableColumns count="10">
    <x:tableColumn id="1" name="timestamp"/>
    <x:tableColumn id="2" name="date"/>
    <x:tableColumn id="3" name="item_id"/>
    <x:tableColumn id="4" name="item_en"/>
    <x:tableColumn id="5" name="item_zh"/>
    <x:tableColumn id="6" name="quantity_used"/>
    <x:tableColumn id="7" name="unit"/>
    <x:tableColumn id="8" name="meal"/>
    <x:tableColumn id="9" name="reason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FoodCatalogTable" displayName="FoodCatalogTable" ref="A1:I200" headerRowCount="1">
  <x:tableColumns count="9">
    <x:tableColumn id="1" name="item_en"/>
    <x:tableColumn id="2" name="item_zh"/>
    <x:tableColumn id="3" name="category"/>
    <x:tableColumn id="4" name="unit_basis"/>
    <x:tableColumn id="5" name="calories_per_100g"/>
    <x:tableColumn id="6" name="protein_per_100g"/>
    <x:tableColumn id="7" name="carbs_per_100g"/>
    <x:tableColumn id="8" name="fat_per_100g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ettingsTable" displayName="SettingsTable" ref="A1:B100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0bc31e0d8b4d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c04b1985dc43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a70f8de21643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b407cabac64b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f01071e4b245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c971edb8964eb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减脂库存与体重系统</x:v>
      </x:c>
      <x:c r="B1" s="20" t="str"/>
      <x:c r="C1" s="20" t="str"/>
      <x:c r="D1" s="20" t="str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3">
      <x:c r="A3" t="str">
        <x:v>Metric</x:v>
      </x:c>
      <x:c r="B3" t="str">
        <x:v>Value</x:v>
      </x:c>
      <x:c r="D3" t="str">
        <x:v>Live metrics</x:v>
      </x:c>
      <x:c r="E3" t="str">
        <x:v>Formula / Value</x:v>
      </x:c>
    </x:row>
    <x:row r="4">
      <x:c r="A4" t="str">
        <x:v>Starting weight lb</x:v>
      </x:c>
      <x:c r="B4" t="n">
        <x:v>190</x:v>
      </x:c>
      <x:c r="D4" t="str">
        <x:v>Latest weight</x:v>
      </x:c>
      <x:c r="E4" t="str">
        <x:f>IFERROR(LOOKUP(2,1/(WeightLog!B:B&lt;&gt;""),WeightLog!B:B),"")</x:f>
      </x:c>
    </x:row>
    <x:row r="5">
      <x:c r="A5" t="str">
        <x:v>Target weight lb</x:v>
      </x:c>
      <x:c r="B5" t="n">
        <x:v>165</x:v>
      </x:c>
      <x:c r="D5" t="str">
        <x:v>7-day avg</x:v>
      </x:c>
      <x:c r="E5" t="str">
        <x:f>IFERROR(AVERAGE(QUERY(SORT(FILTER(WeightLog!A:B,WeightLog!B:B&lt;&gt;""),1,FALSE),"select Col2 limit 7",0)),"")</x:f>
      </x:c>
    </x:row>
    <x:row r="6">
      <x:c r="A6" t="str">
        <x:v>Target loss min lb/week</x:v>
      </x:c>
      <x:c r="B6" t="n">
        <x:v>1.25</x:v>
      </x:c>
      <x:c r="D6" t="str">
        <x:v>Previous 7-day avg</x:v>
      </x:c>
      <x:c r="E6" t="str">
        <x:f>IFERROR(AVERAGE(QUERY(SORT(FILTER(WeightLog!A:B,WeightLog!B:B&lt;&gt;""),1,FALSE),"select Col2 limit 7 offset 7",0)),"")</x:f>
      </x:c>
    </x:row>
    <x:row r="7">
      <x:c r="A7" t="str">
        <x:v>Target loss max lb/week</x:v>
      </x:c>
      <x:c r="B7" t="n">
        <x:v>1.75</x:v>
      </x:c>
      <x:c r="D7" t="str">
        <x:v>Weekly trend lb</x:v>
      </x:c>
      <x:c r="E7" t="n">
        <x:f>IFERROR(E5-E6,"")</x:f>
        <x:v>0</x:v>
      </x:c>
    </x:row>
    <x:row r="8">
      <x:c r="A8" t="str">
        <x:v>Training day kcal</x:v>
      </x:c>
      <x:c r="B8" t="str">
        <x:v>2350-2450</x:v>
      </x:c>
      <x:c r="D8" t="str">
        <x:v>Target status</x:v>
      </x:c>
      <x:c r="E8" t="str">
        <x:f>IF(E7="","Need data",IF(E7&lt;-2,"Too fast",IF(E7&lt;-1.75,"Fast",IF(E7&lt;-1.25,"On target",IF(E7&lt;-1,"Slightly slow","Slow")))))</x:f>
        <x:v>Need data</x:v>
      </x:c>
    </x:row>
    <x:row r="9">
      <x:c r="A9" t="str">
        <x:v>Rest/light day kcal</x:v>
      </x:c>
      <x:c r="B9" t="str">
        <x:v>2100-2250</x:v>
      </x:c>
      <x:c r="D9" t="str">
        <x:v>Active inventory items</x:v>
      </x:c>
      <x:c r="E9" t="n">
        <x:f>COUNTIF(Inventory!N:N,"active")</x:f>
        <x:v>0</x:v>
      </x:c>
    </x:row>
    <x:row r="10">
      <x:c r="A10" t="str">
        <x:v>Daily protein g</x:v>
      </x:c>
      <x:c r="B10" t="str">
        <x:v>180-190</x:v>
      </x:c>
      <x:c r="D10" t="str">
        <x:v>Expiring in 3 days</x:v>
      </x:c>
      <x:c r="E10" t="n">
        <x:f>COUNTIFS(Inventory!I:I,"&lt;="&amp;TODAY()+3,Inventory!N:N,"active")</x:f>
        <x:v>0</x:v>
      </x:c>
    </x:row>
    <x:row r="11">
      <x:c r="A11" t="str">
        <x:v>Timezone</x:v>
      </x:c>
      <x:c r="B11" t="str">
        <x:v>America/Los_Angeles</x:v>
      </x:c>
    </x:row>
    <x:row r="12">
      <x:c r="A12" t="str">
        <x:v>Last updated</x:v>
      </x:c>
      <x:c r="B12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4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1" t="str">
        <x:v>id</x:v>
      </x:c>
      <x:c r="B1" s="21" t="str">
        <x:v>item_en</x:v>
      </x:c>
      <x:c r="C1" s="21" t="str">
        <x:v>item_zh</x:v>
      </x:c>
      <x:c r="D1" s="21" t="str">
        <x:v>category</x:v>
      </x:c>
      <x:c r="E1" s="21" t="str">
        <x:v>quantity</x:v>
      </x:c>
      <x:c r="F1" s="21" t="str">
        <x:v>unit</x:v>
      </x:c>
      <x:c r="G1" s="21" t="str">
        <x:v>storage</x:v>
      </x:c>
      <x:c r="H1" s="21" t="str">
        <x:v>purchase_date</x:v>
      </x:c>
      <x:c r="I1" s="21" t="str">
        <x:v>opened_date</x:v>
      </x:c>
      <x:c r="J1" s="21" t="str">
        <x:v>use_by</x:v>
      </x:c>
      <x:c r="K1" s="21" t="str">
        <x:v>calories_per_100g</x:v>
      </x:c>
      <x:c r="L1" s="21" t="str">
        <x:v>protein_per_100g</x:v>
      </x:c>
      <x:c r="M1" s="21" t="str">
        <x:v>carbs_per_100g</x:v>
      </x:c>
      <x:c r="N1" s="21" t="str">
        <x:v>fat_per_100g</x:v>
      </x:c>
      <x:c r="O1" s="21" t="str">
        <x:v>status</x:v>
      </x:c>
      <x:c r="P1" s="21" t="str">
        <x:v>priority</x:v>
      </x:c>
      <x:c r="Q1" s="21" t="str">
        <x:v>min_quantity</x:v>
      </x:c>
      <x:c r="R1" s="21" t="str">
        <x:v>target_quantity</x:v>
      </x:c>
      <x:c r="S1" s="21" t="str">
        <x:v>notes</x:v>
      </x:c>
      <x:c r="T1" s="21" t="str">
        <x:v>last_updated</x:v>
      </x:c>
      <x:c r="U1" s="21"/>
      <x:c r="V1" s="21"/>
      <x:c r="W1" s="21"/>
      <x:c r="X1" s="21"/>
      <x:c r="Y1" s="21"/>
      <x:c r="Z1" s="21"/>
    </x:row>
    <x:row r="2">
      <x:c r="A2" t="str">
        <x:v>inv-001</x:v>
      </x:c>
      <x:c r="B2" t="str">
        <x:v>chicken breast</x:v>
      </x:c>
      <x:c r="C2" t="str">
        <x:v>鸡胸肉</x:v>
      </x:c>
      <x:c r="D2" t="str">
        <x:v>protein</x:v>
      </x:c>
      <x:c r="E2" t="n">
        <x:v>900</x:v>
      </x:c>
      <x:c r="F2" t="str">
        <x:v>g</x:v>
      </x:c>
      <x:c r="G2" t="str">
        <x:v>fridge</x:v>
      </x:c>
      <x:c r="H2" t="str">
        <x:v>2026-06-11</x:v>
      </x:c>
      <x:c r="I2" t="str"/>
      <x:c r="J2" t="str">
        <x:v>2026-06-14</x:v>
      </x:c>
      <x:c r="K2" t="n">
        <x:v>120</x:v>
      </x:c>
      <x:c r="L2" t="n">
        <x:v>23</x:v>
      </x:c>
      <x:c r="M2" t="n">
        <x:v>0</x:v>
      </x:c>
      <x:c r="N2" t="n">
        <x:v>2.6</x:v>
      </x:c>
      <x:c r="O2" t="str">
        <x:v>active</x:v>
      </x:c>
      <x:c r="P2" t="str">
        <x:v>high</x:v>
      </x:c>
      <x:c r="Q2" t="n">
        <x:v>0</x:v>
      </x:c>
      <x:c r="R2" t="n">
        <x:v>1000</x:v>
      </x:c>
      <x:c r="S2" t="str">
        <x:v>sample; replace with actual inventory</x:v>
      </x:c>
      <x:c r="T2" t="str"/>
    </x:row>
    <x:row r="3">
      <x:c r="A3" t="str">
        <x:v>inv-002</x:v>
      </x:c>
      <x:c r="B3" t="str">
        <x:v>jasmine rice</x:v>
      </x:c>
      <x:c r="C3" t="str">
        <x:v>茉莉香米</x:v>
      </x:c>
      <x:c r="D3" t="str">
        <x:v>carb</x:v>
      </x:c>
      <x:c r="E3" t="n">
        <x:v>5</x:v>
      </x:c>
      <x:c r="F3" t="str">
        <x:v>lb</x:v>
      </x:c>
      <x:c r="G3" t="str">
        <x:v>pantry</x:v>
      </x:c>
      <x:c r="H3" t="str">
        <x:v>2026-06-11</x:v>
      </x:c>
      <x:c r="I3" t="str"/>
      <x:c r="J3" t="str"/>
      <x:c r="K3" t="n">
        <x:v>365</x:v>
      </x:c>
      <x:c r="L3" t="n">
        <x:v>7</x:v>
      </x:c>
      <x:c r="M3" t="n">
        <x:v>80</x:v>
      </x:c>
      <x:c r="N3" t="n">
        <x:v>0.7</x:v>
      </x:c>
      <x:c r="O3" t="str">
        <x:v>active</x:v>
      </x:c>
      <x:c r="P3" t="str">
        <x:v>medium</x:v>
      </x:c>
      <x:c r="Q3" t="n">
        <x:v>1</x:v>
      </x:c>
      <x:c r="R3" t="n">
        <x:v>5</x:v>
      </x:c>
      <x:c r="S3" t="str">
        <x:v>dry weight; bulk staple</x:v>
      </x:c>
      <x:c r="T3" t="str"/>
    </x:row>
    <x:row r="4">
      <x:c r="A4" t="str">
        <x:v>inv-003</x:v>
      </x:c>
      <x:c r="B4" t="str">
        <x:v>greek yogurt plain 0-2%</x:v>
      </x:c>
      <x:c r="C4" t="str">
        <x:v>原味希腊酸奶</x:v>
      </x:c>
      <x:c r="D4" t="str">
        <x:v>protein</x:v>
      </x:c>
      <x:c r="E4" t="n">
        <x:v>64</x:v>
      </x:c>
      <x:c r="F4" t="str">
        <x:v>oz</x:v>
      </x:c>
      <x:c r="G4" t="str">
        <x:v>fridge</x:v>
      </x:c>
      <x:c r="H4" t="str">
        <x:v>2026-06-11</x:v>
      </x:c>
      <x:c r="I4" t="str"/>
      <x:c r="J4" t="str">
        <x:v>2026-06-20</x:v>
      </x:c>
      <x:c r="K4" t="n">
        <x:v>59</x:v>
      </x:c>
      <x:c r="L4" t="n">
        <x:v>10</x:v>
      </x:c>
      <x:c r="M4" t="n">
        <x:v>3.6</x:v>
      </x:c>
      <x:c r="N4" t="n">
        <x:v>0.4</x:v>
      </x:c>
      <x:c r="O4" t="str">
        <x:v>active</x:v>
      </x:c>
      <x:c r="P4" t="str">
        <x:v>medium</x:v>
      </x:c>
      <x:c r="Q4" t="n">
        <x:v>16</x:v>
      </x:c>
      <x:c r="R4" t="n">
        <x:v>64</x:v>
      </x:c>
      <x:c r="S4" t="str">
        <x:v>two 32 oz tubs</x:v>
      </x:c>
      <x:c r="T4" t="str"/>
    </x:row>
  </x:sheetData>
  <x:conditionalFormatting sqref="J2:J200">
    <x:cfRule type="expression" dxfId="0" priority="1">
      <x:formula>AND($N2="active",$J2&lt;&gt;"",$J2&lt;=TODAY()+3)</x:formula>
    </x:cfRule>
  </x:conditionalFormatting>
  <x:dataValidations count="4">
    <x:dataValidation type="list" sqref="D2:D200">
      <x:formula1>"protein,carb,veg,fruit,condiment,staple,snack,drink,other"</x:formula1>
    </x:dataValidation>
    <x:dataValidation type="list" sqref="G2:G200">
      <x:formula1>"fridge,freezer,pantry,counter"</x:formula1>
    </x:dataValidation>
    <x:dataValidation type="list" sqref="N2:N200">
      <x:formula1>"active,finished,archived,discarded"</x:formula1>
    </x:dataValidation>
    <x:dataValidation type="list" sqref="O2:O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0bc31e0d8b4d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1" t="str">
        <x:v>date</x:v>
      </x:c>
      <x:c r="B1" s="21" t="str">
        <x:v>weight_lb</x:v>
      </x:c>
      <x:c r="C1" s="21" t="str">
        <x:v>sleep_hours</x:v>
      </x:c>
      <x:c r="D1" s="21" t="str">
        <x:v>hunger_1_10</x:v>
      </x:c>
      <x:c r="E1" s="21" t="str">
        <x:v>training_perf_1_10</x:v>
      </x:c>
      <x:c r="F1" s="21" t="str">
        <x:v>training</x:v>
      </x:c>
      <x:c r="G1" s="21" t="str">
        <x:v>calories</x:v>
      </x:c>
      <x:c r="H1" s="21" t="str">
        <x:v>protein_g</x:v>
      </x:c>
      <x:c r="I1" s="21" t="str">
        <x:v>fast_food</x:v>
      </x:c>
      <x:c r="J1" s="21" t="str">
        <x:v>alcohol</x:v>
      </x:c>
      <x:c r="K1" s="21" t="str">
        <x:v>night_snack</x:v>
      </x:c>
      <x:c r="L1" s="21" t="str">
        <x:v>notes</x:v>
      </x:c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t="str">
        <x:v>2026-06-11</x:v>
      </x:c>
      <x:c r="B2" t="n">
        <x:v>190</x:v>
      </x:c>
      <x:c r="C2" t="str"/>
      <x:c r="D2" t="str"/>
      <x:c r="E2" t="str"/>
      <x:c r="F2" t="str">
        <x:v>baseline</x:v>
      </x:c>
      <x:c r="G2" t="str"/>
      <x:c r="H2" t="str"/>
      <x:c r="I2" t="str">
        <x:v>no</x:v>
      </x:c>
      <x:c r="J2" t="str">
        <x:v>no</x:v>
      </x:c>
      <x:c r="K2" t="str">
        <x:v>no</x:v>
      </x:c>
      <x:c r="L2" t="str">
        <x:v>sample start row</x:v>
      </x:c>
    </x:row>
  </x:sheetData>
  <x:conditionalFormatting sqref="B2:B200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{1D0F8019-8640-56B0-D8F1-665FC07498FC}</x14:id>
        </x:ext>
      </x:extLst>
    </x:cfRule>
  </x:conditionalFormatting>
  <x:dataValidations count="1">
    <x:dataValidation type="list" sqref="I2:K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c04b1985dc437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D0F8019-8640-56B0-D8F1-665FC07498FC}">
            <x14:dataBar gradient="1">
              <x14:cfvo type="min"/>
              <x14:cfvo type="max"/>
              <x14:fillColor rgb="60A5FA"/>
            </x14:dataBar>
          </x14:cfRule>
          <xm:sqref>B2:B200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3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1" t="str">
        <x:v>date</x:v>
      </x:c>
      <x:c r="B1" s="21" t="str">
        <x:v>meal_type</x:v>
      </x:c>
      <x:c r="C1" s="21" t="str">
        <x:v>planned_or_actual</x:v>
      </x:c>
      <x:c r="D1" s="21" t="str">
        <x:v>calories</x:v>
      </x:c>
      <x:c r="E1" s="21" t="str">
        <x:v>protein_g</x:v>
      </x:c>
      <x:c r="F1" s="21" t="str">
        <x:v>carbs_g</x:v>
      </x:c>
      <x:c r="G1" s="21" t="str">
        <x:v>fat_g</x:v>
      </x:c>
      <x:c r="H1" s="21" t="str">
        <x:v>food_summary</x:v>
      </x:c>
      <x:c r="I1" s="21" t="str">
        <x:v>inventory_used</x:v>
      </x:c>
      <x:c r="J1" s="21" t="str">
        <x:v>notes</x:v>
      </x:c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</x:sheetData>
  <x:dataValidations count="1">
    <x:dataValidation type="list" sqref="C2:C200">
      <x:formula1>"planned,actual"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a70f8de21643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1" t="str">
        <x:v>timestamp</x:v>
      </x:c>
      <x:c r="B1" s="21" t="str">
        <x:v>date</x:v>
      </x:c>
      <x:c r="C1" s="21" t="str">
        <x:v>item_id</x:v>
      </x:c>
      <x:c r="D1" s="21" t="str">
        <x:v>item_en</x:v>
      </x:c>
      <x:c r="E1" s="21" t="str">
        <x:v>item_zh</x:v>
      </x:c>
      <x:c r="F1" s="21" t="str">
        <x:v>quantity_used</x:v>
      </x:c>
      <x:c r="G1" s="21" t="str">
        <x:v>unit</x:v>
      </x:c>
      <x:c r="H1" s="21" t="str">
        <x:v>meal</x:v>
      </x:c>
      <x:c r="I1" s="21" t="str">
        <x:v>reason</x:v>
      </x:c>
      <x:c r="J1" s="21" t="str">
        <x:v>notes</x:v>
      </x:c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</x:sheetData>
  <x:pageMargins left="0.7" right="0.7" top="0.75" bottom="0.75" header="0.3" footer="0.3"/>
  <x:tableParts count="1">
    <x:tablePart xmlns:r="http://schemas.openxmlformats.org/officeDocument/2006/relationships" r:id="Ra8b407cabac64b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1" t="str">
        <x:v>item_en</x:v>
      </x:c>
      <x:c r="B1" s="21" t="str">
        <x:v>item_zh</x:v>
      </x:c>
      <x:c r="C1" s="21" t="str">
        <x:v>category</x:v>
      </x:c>
      <x:c r="D1" s="21" t="str">
        <x:v>unit_basis</x:v>
      </x:c>
      <x:c r="E1" s="21" t="str">
        <x:v>calories_per_100g</x:v>
      </x:c>
      <x:c r="F1" s="21" t="str">
        <x:v>protein_per_100g</x:v>
      </x:c>
      <x:c r="G1" s="21" t="str">
        <x:v>carbs_per_100g</x:v>
      </x:c>
      <x:c r="H1" s="21" t="str">
        <x:v>fat_per_100g</x:v>
      </x:c>
      <x:c r="I1" s="21" t="str">
        <x:v>notes</x:v>
      </x:c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t="str">
        <x:v>chicken breast</x:v>
      </x:c>
      <x:c r="B2" t="str">
        <x:v>鸡胸肉</x:v>
      </x:c>
      <x:c r="C2" t="str">
        <x:v>protein</x:v>
      </x:c>
      <x:c r="D2" t="str">
        <x:v>100g cooked/raw varies</x:v>
      </x:c>
      <x:c r="E2" t="n">
        <x:v>120</x:v>
      </x:c>
      <x:c r="F2" t="n">
        <x:v>23</x:v>
      </x:c>
      <x:c r="G2" t="n">
        <x:v>0</x:v>
      </x:c>
      <x:c r="H2" t="n">
        <x:v>2.6</x:v>
      </x:c>
      <x:c r="I2" t="str">
        <x:v>verify brand/package</x:v>
      </x:c>
    </x:row>
    <x:row r="3">
      <x:c r="A3" t="str">
        <x:v>lean ground beef 93%</x:v>
      </x:c>
      <x:c r="B3" t="str">
        <x:v>93% 瘦牛肉</x:v>
      </x:c>
      <x:c r="C3" t="str">
        <x:v>protein</x:v>
      </x:c>
      <x:c r="D3" t="str">
        <x:v>100g</x:v>
      </x:c>
      <x:c r="E3" t="n">
        <x:v>172</x:v>
      </x:c>
      <x:c r="F3" t="n">
        <x:v>21</x:v>
      </x:c>
      <x:c r="G3" t="n">
        <x:v>0</x:v>
      </x:c>
      <x:c r="H3" t="n">
        <x:v>8</x:v>
      </x:c>
      <x:c r="I3" t="str">
        <x:v>verify label</x:v>
      </x:c>
    </x:row>
    <x:row r="4">
      <x:c r="A4" t="str">
        <x:v>egg</x:v>
      </x:c>
      <x:c r="B4" t="str">
        <x:v>鸡蛋</x:v>
      </x:c>
      <x:c r="C4" t="str">
        <x:v>protein</x:v>
      </x:c>
      <x:c r="D4" t="str">
        <x:v>1 large</x:v>
      </x:c>
      <x:c r="E4" t="n">
        <x:v>72</x:v>
      </x:c>
      <x:c r="F4" t="n">
        <x:v>6</x:v>
      </x:c>
      <x:c r="G4" t="n">
        <x:v>0.4</x:v>
      </x:c>
      <x:c r="H4" t="n">
        <x:v>5</x:v>
      </x:c>
      <x:c r="I4" t="str">
        <x:v>per egg, not per 100g</x:v>
      </x:c>
    </x:row>
    <x:row r="5">
      <x:c r="A5" t="str">
        <x:v>greek yogurt plain 0-2%</x:v>
      </x:c>
      <x:c r="B5" t="str">
        <x:v>原味希腊酸奶</x:v>
      </x:c>
      <x:c r="C5" t="str">
        <x:v>protein</x:v>
      </x:c>
      <x:c r="D5" t="str">
        <x:v>100g</x:v>
      </x:c>
      <x:c r="E5" t="n">
        <x:v>59</x:v>
      </x:c>
      <x:c r="F5" t="n">
        <x:v>10</x:v>
      </x:c>
      <x:c r="G5" t="n">
        <x:v>3.6</x:v>
      </x:c>
      <x:c r="H5" t="n">
        <x:v>0.4</x:v>
      </x:c>
      <x:c r="I5" t="str">
        <x:v>verify brand</x:v>
      </x:c>
    </x:row>
    <x:row r="6">
      <x:c r="A6" t="str">
        <x:v>jasmine rice cooked</x:v>
      </x:c>
      <x:c r="B6" t="str">
        <x:v>熟茉莉香米</x:v>
      </x:c>
      <x:c r="C6" t="str">
        <x:v>carb</x:v>
      </x:c>
      <x:c r="D6" t="str">
        <x:v>100g</x:v>
      </x:c>
      <x:c r="E6" t="n">
        <x:v>130</x:v>
      </x:c>
      <x:c r="F6" t="n">
        <x:v>2.7</x:v>
      </x:c>
      <x:c r="G6" t="n">
        <x:v>28</x:v>
      </x:c>
      <x:c r="H6" t="n">
        <x:v>0.3</x:v>
      </x:c>
      <x:c r="I6" t="str">
        <x:v>cooked weight</x:v>
      </x:c>
    </x:row>
    <x:row r="7">
      <x:c r="A7" t="str">
        <x:v>broccoli</x:v>
      </x:c>
      <x:c r="B7" t="str">
        <x:v>西兰花</x:v>
      </x:c>
      <x:c r="C7" t="str">
        <x:v>veg</x:v>
      </x:c>
      <x:c r="D7" t="str">
        <x:v>100g</x:v>
      </x:c>
      <x:c r="E7" t="n">
        <x:v>35</x:v>
      </x:c>
      <x:c r="F7" t="n">
        <x:v>2.4</x:v>
      </x:c>
      <x:c r="G7" t="n">
        <x:v>7.2</x:v>
      </x:c>
      <x:c r="H7" t="n">
        <x:v>0.4</x:v>
      </x:c>
      <x:c r="I7" t="str"/>
    </x:row>
  </x:sheetData>
  <x:pageMargins left="0.7" right="0.7" top="0.75" bottom="0.75" header="0.3" footer="0.3"/>
  <x:tableParts count="1">
    <x:tablePart xmlns:r="http://schemas.openxmlformats.org/officeDocument/2006/relationships" r:id="Rdcf01071e4b245a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1" t="str">
        <x:v>key</x:v>
      </x:c>
      <x:c r="B1" s="21" t="str">
        <x:v>value</x:v>
      </x:c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t="str">
        <x:v>user_age</x:v>
      </x:c>
      <x:c r="B2" t="n">
        <x:v>32</x:v>
      </x:c>
    </x:row>
    <x:row r="3">
      <x:c r="A3" t="str">
        <x:v>user_sex</x:v>
      </x:c>
      <x:c r="B3" t="str">
        <x:v>male</x:v>
      </x:c>
    </x:row>
    <x:row r="4">
      <x:c r="A4" t="str">
        <x:v>height</x:v>
      </x:c>
      <x:c r="B4" t="str">
        <x:v>5'9 / 175 cm</x:v>
      </x:c>
    </x:row>
    <x:row r="5">
      <x:c r="A5" t="str">
        <x:v>start_weight_lb</x:v>
      </x:c>
      <x:c r="B5" t="n">
        <x:v>190</x:v>
      </x:c>
    </x:row>
    <x:row r="6">
      <x:c r="A6" t="str">
        <x:v>target_weight_lb</x:v>
      </x:c>
      <x:c r="B6" t="n">
        <x:v>165</x:v>
      </x:c>
    </x:row>
    <x:row r="7">
      <x:c r="A7" t="str">
        <x:v>target_loss_min_lb_per_week</x:v>
      </x:c>
      <x:c r="B7" t="n">
        <x:v>1.25</x:v>
      </x:c>
    </x:row>
    <x:row r="8">
      <x:c r="A8" t="str">
        <x:v>target_loss_max_lb_per_week</x:v>
      </x:c>
      <x:c r="B8" t="n">
        <x:v>1.75</x:v>
      </x:c>
    </x:row>
    <x:row r="9">
      <x:c r="A9" t="str">
        <x:v>training_day_kcal_min</x:v>
      </x:c>
      <x:c r="B9" t="n">
        <x:v>2350</x:v>
      </x:c>
    </x:row>
    <x:row r="10">
      <x:c r="A10" t="str">
        <x:v>training_day_kcal_max</x:v>
      </x:c>
      <x:c r="B10" t="n">
        <x:v>2450</x:v>
      </x:c>
    </x:row>
    <x:row r="11">
      <x:c r="A11" t="str">
        <x:v>rest_day_kcal_min</x:v>
      </x:c>
      <x:c r="B11" t="n">
        <x:v>2100</x:v>
      </x:c>
    </x:row>
    <x:row r="12">
      <x:c r="A12" t="str">
        <x:v>rest_day_kcal_max</x:v>
      </x:c>
      <x:c r="B12" t="n">
        <x:v>2250</x:v>
      </x:c>
    </x:row>
    <x:row r="13">
      <x:c r="A13" t="str">
        <x:v>daily_protein_min_g</x:v>
      </x:c>
      <x:c r="B13" t="n">
        <x:v>180</x:v>
      </x:c>
    </x:row>
    <x:row r="14">
      <x:c r="A14" t="str">
        <x:v>daily_protein_max_g</x:v>
      </x:c>
      <x:c r="B14" t="n">
        <x:v>190</x:v>
      </x:c>
    </x:row>
    <x:row r="15">
      <x:c r="A15" t="str">
        <x:v>timezone</x:v>
      </x:c>
      <x:c r="B15" t="str">
        <x:v>America/Los_Angeles</x:v>
      </x:c>
    </x:row>
    <x:row r="16">
      <x:c r="A16" t="str">
        <x:v>diet_preferences</x:v>
      </x:c>
      <x:c r="B16" t="str">
        <x:v>Chinese/Asian, meat lover</x:v>
      </x:c>
    </x:row>
    <x:row r="17">
      <x:c r="A17" t="str">
        <x:v>hunger_pattern</x:v>
      </x:c>
      <x:c r="B17" t="str">
        <x:v>afternoon and night</x:v>
      </x:c>
    </x:row>
  </x:sheetData>
  <x:pageMargins left="0.7" right="0.7" top="0.75" bottom="0.75" header="0.3" footer="0.3"/>
  <x:tableParts count="1">
    <x:tablePart xmlns:r="http://schemas.openxmlformats.org/officeDocument/2006/relationships" r:id="R20c971edb8964eb3"/>
  </x:tableParts>
</x:worksheet>
</file>